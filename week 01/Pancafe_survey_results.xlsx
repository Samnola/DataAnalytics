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londramartinez\Documents\DataAnalytics\week 01\"/>
    </mc:Choice>
  </mc:AlternateContent>
  <xr:revisionPtr revIDLastSave="0" documentId="8_{C5F41793-B564-4374-9C63-61111DB157C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4" sheetId="4" r:id="rId1"/>
    <sheet name="Sheet1" sheetId="1" r:id="rId2"/>
  </sheet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D10" i="1"/>
  <c r="D2" i="1"/>
  <c r="D3" i="1"/>
  <c r="D4" i="1"/>
  <c r="D5" i="1"/>
  <c r="D6" i="1"/>
  <c r="D7" i="1"/>
  <c r="D8" i="1"/>
  <c r="D9" i="1"/>
</calcChain>
</file>

<file path=xl/sharedStrings.xml><?xml version="1.0" encoding="utf-8"?>
<sst xmlns="http://schemas.openxmlformats.org/spreadsheetml/2006/main" count="75" uniqueCount="59">
  <si>
    <t>Id</t>
  </si>
  <si>
    <t>Start time</t>
  </si>
  <si>
    <t>Completion time</t>
  </si>
  <si>
    <t>Email</t>
  </si>
  <si>
    <t>Name</t>
  </si>
  <si>
    <t>To receive your complimentary drink and occasional updates from Pan con Café, please share your email below.</t>
  </si>
  <si>
    <t>Which of our signature drinks do you enjoy most?</t>
  </si>
  <si>
    <t>What best describes your typical Pan con Café visit?</t>
  </si>
  <si>
    <t>How would you like us to thank you for choosing Pan con Café?</t>
  </si>
  <si>
    <t>We’re always learning, do you have any suggestions for us?</t>
  </si>
  <si>
    <t>vordonez@my.yearupunited.org</t>
  </si>
  <si>
    <t>victoria ordonez</t>
  </si>
  <si>
    <t>Mexican Hot chocolate Latte;Horchata Latte;Dulce de leche Latte;Café de Olla;Churro Latte;</t>
  </si>
  <si>
    <t>Cozy and relaxing;</t>
  </si>
  <si>
    <t>Birthday treat;</t>
  </si>
  <si>
    <t>cpalacios@my.yearupunited.org</t>
  </si>
  <si>
    <t>charles palacios</t>
  </si>
  <si>
    <t>Horchata Latte;</t>
  </si>
  <si>
    <t>A special treat;</t>
  </si>
  <si>
    <t xml:space="preserve">Nothing at the moment! </t>
  </si>
  <si>
    <t>achanthadara@my.yearupunited.org</t>
  </si>
  <si>
    <t>alexus chanthadara</t>
  </si>
  <si>
    <t>username@email.com</t>
  </si>
  <si>
    <t>Part of my daily routine;</t>
  </si>
  <si>
    <t>New drinks and treats</t>
  </si>
  <si>
    <t>BHambleton@YearUp.org</t>
  </si>
  <si>
    <t>Bess Hambleton</t>
  </si>
  <si>
    <t>bhambleton@yearup.org</t>
  </si>
  <si>
    <t>Mexican Hot chocolate Latte;</t>
  </si>
  <si>
    <t>Cozy and relaxing;A special treat;</t>
  </si>
  <si>
    <t>Drink upgrades from time to time;Birthday treat;</t>
  </si>
  <si>
    <t>Please add more cushy seats</t>
  </si>
  <si>
    <t>lalicea@my.yearupunited.org</t>
  </si>
  <si>
    <t>luis alicea</t>
  </si>
  <si>
    <t>Churro Latte;</t>
  </si>
  <si>
    <t>Drink upgrades from time to time;</t>
  </si>
  <si>
    <t>great service!</t>
  </si>
  <si>
    <t>callen@my.yearupunited.org</t>
  </si>
  <si>
    <t>corey allen</t>
  </si>
  <si>
    <t>iloveyou@gmail.com</t>
  </si>
  <si>
    <t>Café de Olla;</t>
  </si>
  <si>
    <t>Surprise café perks;</t>
  </si>
  <si>
    <t>a super-sized, quintuple shot espresso option would be fantastic for those lazy mornings.</t>
  </si>
  <si>
    <t>amartinez3@my.yearupunited.org</t>
  </si>
  <si>
    <t>alondra martinez</t>
  </si>
  <si>
    <t>USERNAME@HOTMAIL.COM</t>
  </si>
  <si>
    <t>Dulce de leche Latte;Churro Latte;</t>
  </si>
  <si>
    <t xml:space="preserve">I love their rotating menu but I would keep the churro conchas year round. </t>
  </si>
  <si>
    <t>tzergaw@my.yearupunited.org</t>
  </si>
  <si>
    <t>tihitina zergaw</t>
  </si>
  <si>
    <t>tita@outlook.com</t>
  </si>
  <si>
    <t>Mexican Hot chocolate Latte</t>
  </si>
  <si>
    <t>Cozy and relaxing</t>
  </si>
  <si>
    <t>Surprise café perks</t>
  </si>
  <si>
    <t>Time To Complete</t>
  </si>
  <si>
    <t>Row Labels</t>
  </si>
  <si>
    <t>Grand Total</t>
  </si>
  <si>
    <t xml:space="preserve">Favorite Signature Drinks </t>
  </si>
  <si>
    <t>Multiple Drinks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</si>
</sst>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1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mm/dd/yyyy\ hh:mm:ss"/>
    </dxf>
    <dxf>
      <numFmt numFmtId="164" formatCode="mm/dd/yyyy\ hh:mm:ss"/>
    </dxf>
    <dxf>
      <numFmt numFmtId="164" formatCode="mm/dd/yyyy\ hh:mm:ss"/>
    </dxf>
    <dxf>
      <numFmt numFmtId="164" formatCode="mm/dd/yyyy\ hh:mm:ss"/>
    </dxf>
    <dxf>
      <numFmt numFmtId="164" formatCode="mm/dd/yyyy\ hh:mm:ss"/>
    </dxf>
    <dxf>
      <numFmt numFmtId="164" formatCode="mm/dd/yyyy\ hh:mm:ss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CB7A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[Pancafe_survey_results.xlsx]Sheet4!PivotTable3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Favorite Signature Drinks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B7A19"/>
          </a:solidFill>
          <a:ln>
            <a:noFill/>
          </a:ln>
          <a:effectLst/>
        </c:spPr>
      </c:pivotFmt>
      <c:pivotFmt>
        <c:idx val="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B7A19"/>
          </a:solidFill>
          <a:ln>
            <a:noFill/>
          </a:ln>
          <a:effectLst/>
        </c:spPr>
      </c:pivotFmt>
      <c:pivotFmt>
        <c:idx val="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B7A19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B7A1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185-4E99-9B74-F6016E4603D4}"/>
              </c:ext>
            </c:extLst>
          </c:dPt>
          <c:cat>
            <c:strRef>
              <c:f>Sheet4!$A$2:$A$9</c:f>
              <c:strCache>
                <c:ptCount val="7"/>
                <c:pt idx="0">
                  <c:v>Horchata Latte;</c:v>
                </c:pt>
                <c:pt idx="1">
                  <c:v>Mexican Hot chocolate Latte</c:v>
                </c:pt>
                <c:pt idx="2">
                  <c:v>Multiple Drinks</c:v>
                </c:pt>
                <c:pt idx="3">
                  <c:v>Mexican Hot chocolate Latte;</c:v>
                </c:pt>
                <c:pt idx="4">
                  <c:v>Dulce de leche Latte;Churro Latte;</c:v>
                </c:pt>
                <c:pt idx="5">
                  <c:v>Churro Latte;</c:v>
                </c:pt>
                <c:pt idx="6">
                  <c:v>Café de Olla;</c:v>
                </c:pt>
              </c:strCache>
            </c:strRef>
          </c:cat>
          <c:val>
            <c:numRef>
              <c:f>Sheet4!$B$2:$B$9</c:f>
              <c:numCache>
                <c:formatCode>General</c:formatCode>
                <c:ptCount val="7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85-4E99-9B74-F6016E460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238016"/>
        <c:axId val="34238496"/>
      </c:barChart>
      <c:catAx>
        <c:axId val="34238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38496"/>
        <c:crosses val="autoZero"/>
        <c:auto val="1"/>
        <c:lblAlgn val="ctr"/>
        <c:lblOffset val="100"/>
        <c:noMultiLvlLbl val="0"/>
      </c:catAx>
      <c:valAx>
        <c:axId val="34238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3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10</xdr:row>
      <xdr:rowOff>123825</xdr:rowOff>
    </xdr:from>
    <xdr:to>
      <xdr:col>3</xdr:col>
      <xdr:colOff>533400</xdr:colOff>
      <xdr:row>27</xdr:row>
      <xdr:rowOff>142875</xdr:rowOff>
    </xdr:to>
    <xdr:graphicFrame macro="">
      <xdr:nvGraphicFramePr>
        <xdr:cNvPr id="65" name="Chart 1">
          <a:extLst>
            <a:ext uri="{FF2B5EF4-FFF2-40B4-BE49-F238E27FC236}">
              <a16:creationId xmlns:a16="http://schemas.microsoft.com/office/drawing/2014/main" id="{CA33B2AE-A780-4DEC-9913-7CEB264208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ondra martinez" refreshedDate="46122.027868865742" createdVersion="8" refreshedVersion="8" minRefreshableVersion="3" recordCount="8" xr:uid="{F500FB6A-5DAC-4D3D-A735-55068EC108E6}">
  <cacheSource type="worksheet">
    <worksheetSource name="OfficeForms.Table"/>
  </cacheSource>
  <cacheFields count="11">
    <cacheField name="Id" numFmtId="0">
      <sharedItems containsSemiMixedTypes="0" containsString="0" containsNumber="1" containsInteger="1" minValue="1" maxValue="8"/>
    </cacheField>
    <cacheField name="Start time" numFmtId="164">
      <sharedItems containsSemiMixedTypes="0" containsNonDate="0" containsDate="1" containsString="0" minDate="2026-04-09T09:22:11" maxDate="2026-04-09T15:49:20"/>
    </cacheField>
    <cacheField name="Completion time" numFmtId="164">
      <sharedItems containsSemiMixedTypes="0" containsNonDate="0" containsDate="1" containsString="0" minDate="2026-04-09T09:22:50" maxDate="2026-04-09T15:51:11"/>
    </cacheField>
    <cacheField name="Time To Complete" numFmtId="164">
      <sharedItems containsSemiMixedTypes="0" containsNonDate="0" containsDate="1" containsString="0" minDate="1899-12-30T00:00:39" maxDate="1899-12-30T00:03:53"/>
    </cacheField>
    <cacheField name="Email" numFmtId="0">
      <sharedItems/>
    </cacheField>
    <cacheField name="Name" numFmtId="0">
      <sharedItems/>
    </cacheField>
    <cacheField name="To receive your complimentary drink and occasional updates from Pan con Café, please share your email below." numFmtId="0">
      <sharedItems/>
    </cacheField>
    <cacheField name="Which of our signature drinks do you enjoy most?" numFmtId="0">
      <sharedItems count="7">
        <s v="Mexican Hot chocolate Latte;Horchata Latte;Dulce de leche Latte;Café de Olla;Churro Latte;"/>
        <s v="Horchata Latte;"/>
        <s v="Mexican Hot chocolate Latte;"/>
        <s v="Churro Latte;"/>
        <s v="Café de Olla;"/>
        <s v="Dulce de leche Latte;Churro Latte;"/>
        <s v="Mexican Hot chocolate Latte"/>
      </sharedItems>
    </cacheField>
    <cacheField name="What best describes your typical Pan con Café visit?" numFmtId="0">
      <sharedItems/>
    </cacheField>
    <cacheField name="How would you like us to thank you for choosing Pan con Café?" numFmtId="0">
      <sharedItems/>
    </cacheField>
    <cacheField name="We’re always learning, do you have any suggestions for us?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1"/>
    <d v="2026-04-09T09:22:11"/>
    <d v="2026-04-09T09:22:50"/>
    <d v="1899-12-30T00:00:39"/>
    <s v="vordonez@my.yearupunited.org"/>
    <s v="victoria ordonez"/>
    <s v="vordonez@my.yearupunited.org"/>
    <x v="0"/>
    <s v="Cozy and relaxing;"/>
    <s v="Birthday treat;"/>
    <m/>
  </r>
  <r>
    <n v="2"/>
    <d v="2026-04-09T09:57:29"/>
    <d v="2026-04-09T09:58:18"/>
    <d v="1899-12-30T00:00:49"/>
    <s v="cpalacios@my.yearupunited.org"/>
    <s v="charles palacios"/>
    <s v="cpalacios@my.yearupunited.org"/>
    <x v="1"/>
    <s v="A special treat;"/>
    <s v="Birthday treat;"/>
    <s v="Nothing at the moment! "/>
  </r>
  <r>
    <n v="3"/>
    <d v="2026-04-09T09:57:06"/>
    <d v="2026-04-09T10:00:59"/>
    <d v="1899-12-30T00:03:53"/>
    <s v="achanthadara@my.yearupunited.org"/>
    <s v="alexus chanthadara"/>
    <s v="username@email.com"/>
    <x v="1"/>
    <s v="Part of my daily routine;"/>
    <s v="Birthday treat;"/>
    <s v="New drinks and treats"/>
  </r>
  <r>
    <n v="4"/>
    <d v="2026-04-09T10:24:59"/>
    <d v="2026-04-09T10:25:59"/>
    <d v="1899-12-30T00:01:00"/>
    <s v="BHambleton@YearUp.org"/>
    <s v="Bess Hambleton"/>
    <s v="bhambleton@yearup.org"/>
    <x v="2"/>
    <s v="Cozy and relaxing;A special treat;"/>
    <s v="Drink upgrades from time to time;Birthday treat;"/>
    <s v="Please add more cushy seats"/>
  </r>
  <r>
    <n v="5"/>
    <d v="2026-04-09T11:54:11"/>
    <d v="2026-04-09T11:57:12"/>
    <d v="1899-12-30T00:03:01"/>
    <s v="lalicea@my.yearupunited.org"/>
    <s v="luis alicea"/>
    <s v="lalicea@my.yearupunited.org"/>
    <x v="3"/>
    <s v="Cozy and relaxing;"/>
    <s v="Drink upgrades from time to time;"/>
    <s v="great service!"/>
  </r>
  <r>
    <n v="6"/>
    <d v="2026-04-09T13:08:06"/>
    <d v="2026-04-09T13:09:17"/>
    <d v="1899-12-30T00:01:11"/>
    <s v="callen@my.yearupunited.org"/>
    <s v="corey allen"/>
    <s v="iloveyou@gmail.com"/>
    <x v="4"/>
    <s v="Part of my daily routine;"/>
    <s v="Surprise café perks;"/>
    <s v="a super-sized, quintuple shot espresso option would be fantastic for those lazy mornings."/>
  </r>
  <r>
    <n v="7"/>
    <d v="2026-04-09T14:41:48"/>
    <d v="2026-04-09T14:42:47"/>
    <d v="1899-12-30T00:00:59"/>
    <s v="amartinez3@my.yearupunited.org"/>
    <s v="alondra martinez"/>
    <s v="USERNAME@HOTMAIL.COM"/>
    <x v="5"/>
    <s v="A special treat;"/>
    <s v="Drink upgrades from time to time;"/>
    <s v="I love their rotating menu but I would keep the churro conchas year round. "/>
  </r>
  <r>
    <n v="8"/>
    <d v="2026-04-09T15:49:20"/>
    <d v="2026-04-09T15:51:11"/>
    <d v="1899-12-30T00:01:51"/>
    <s v="tzergaw@my.yearupunited.org"/>
    <s v="tihitina zergaw"/>
    <s v="tita@outlook.com"/>
    <x v="6"/>
    <s v="Cozy and relaxing"/>
    <s v="Surprise café perks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DD9D18-08EE-429E-83FF-C0795768A83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:B9" firstHeaderRow="1" firstDataRow="1" firstDataCol="1"/>
  <pivotFields count="11">
    <pivotField showAll="0"/>
    <pivotField numFmtId="164" showAll="0"/>
    <pivotField numFmtId="164" showAll="0"/>
    <pivotField numFmtId="164" showAll="0"/>
    <pivotField showAll="0"/>
    <pivotField showAll="0"/>
    <pivotField showAll="0"/>
    <pivotField axis="axisRow" dataField="1" showAll="0" sortType="descending">
      <items count="8">
        <item x="4"/>
        <item x="3"/>
        <item x="5"/>
        <item x="1"/>
        <item x="6"/>
        <item x="2"/>
        <item n="Multiple Drinks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7"/>
  </rowFields>
  <rowItems count="8">
    <i>
      <x v="3"/>
    </i>
    <i>
      <x v="4"/>
    </i>
    <i>
      <x v="6"/>
    </i>
    <i>
      <x v="5"/>
    </i>
    <i>
      <x v="2"/>
    </i>
    <i>
      <x v="1"/>
    </i>
    <i>
      <x/>
    </i>
    <i t="grand">
      <x/>
    </i>
  </rowItems>
  <colItems count="1">
    <i/>
  </colItems>
  <dataFields count="1">
    <dataField name="Favorite Signature Drinks " fld="7" subtotal="count" baseField="0" baseItem="0"/>
  </dataFields>
  <chartFormats count="2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K10" totalsRowCount="1">
  <autoFilter ref="A1:K9" xr:uid="{00000000-0009-0000-0100-000001000000}"/>
  <tableColumns count="11">
    <tableColumn id="1" xr3:uid="{00000000-0010-0000-0000-000001000000}" name="Id" dataDxfId="20" totalsRowDxfId="19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 dataDxfId="18" totalsRowDxfId="17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 dataDxfId="16" totalsRowDxfId="15">
      <extLst>
        <ext xmlns:xlmsforms="http://schemas.microsoft.com/office/spreadsheetml/2023/msForms" uri="{FCC71383-01E1-4257-9335-427F07BE8D7F}">
          <xlmsforms:question id="submitDate"/>
        </ext>
      </extLst>
    </tableColumn>
    <tableColumn id="11" xr3:uid="{E2D671A0-FE9F-4742-B9B5-CD52DE96706F}" name="Time To Complete" totalsRowFunction="custom" dataDxfId="14" totalsRowDxfId="13">
      <calculatedColumnFormula>C2-B2</calculatedColumnFormula>
      <totalsRowFormula>AVERAGE(D2:D9)</totalsRowFormula>
    </tableColumn>
    <tableColumn id="4" xr3:uid="{00000000-0010-0000-0000-000004000000}" name="Email" dataDxfId="12" totalsRowDxfId="11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0" totalsRowDxfId="9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To receive your complimentary drink and occasional updates from Pan con Café, please share your email below." dataDxfId="8" totalsRowDxfId="7">
      <extLst>
        <ext xmlns:xlmsforms="http://schemas.microsoft.com/office/spreadsheetml/2023/msForms" uri="{FCC71383-01E1-4257-9335-427F07BE8D7F}">
          <xlmsforms:question id="r22afc5f33597404186d7f29f14ebcb63"/>
        </ext>
      </extLst>
    </tableColumn>
    <tableColumn id="7" xr3:uid="{00000000-0010-0000-0000-000007000000}" name="Which of our signature drinks do you enjoy most?" dataDxfId="6" totalsRowDxfId="5">
      <extLst>
        <ext xmlns:xlmsforms="http://schemas.microsoft.com/office/spreadsheetml/2023/msForms" uri="{FCC71383-01E1-4257-9335-427F07BE8D7F}">
          <xlmsforms:question id="r58c08c932f6f458a81ca03ccc93c611b"/>
        </ext>
      </extLst>
    </tableColumn>
    <tableColumn id="8" xr3:uid="{00000000-0010-0000-0000-000008000000}" name="What best describes your typical Pan con Café visit?" dataDxfId="4" totalsRowDxfId="3">
      <extLst>
        <ext xmlns:xlmsforms="http://schemas.microsoft.com/office/spreadsheetml/2023/msForms" uri="{FCC71383-01E1-4257-9335-427F07BE8D7F}">
          <xlmsforms:question id="r824cbfcab3184101ac7af372ec5ddc92"/>
        </ext>
      </extLst>
    </tableColumn>
    <tableColumn id="9" xr3:uid="{00000000-0010-0000-0000-000009000000}" name="How would you like us to thank you for choosing Pan con Café?" totalsRowFunction="custom" dataDxfId="2">
      <totalsRowFormula>COUNTIF(J2:J9, "Birthday treat")</totalsRowFormula>
      <extLst>
        <ext xmlns:xlmsforms="http://schemas.microsoft.com/office/spreadsheetml/2023/msForms" uri="{FCC71383-01E1-4257-9335-427F07BE8D7F}">
          <xlmsforms:question id="rb67fef65dfac4f2c93b08200a862d362"/>
        </ext>
      </extLst>
    </tableColumn>
    <tableColumn id="10" xr3:uid="{00000000-0010-0000-0000-00000A000000}" name="We’re always learning, do you have any suggestions for us?" dataDxfId="1" totalsRowDxfId="0">
      <extLst>
        <ext xmlns:xlmsforms="http://schemas.microsoft.com/office/spreadsheetml/2023/msForms" uri="{FCC71383-01E1-4257-9335-427F07BE8D7F}">
          <xlmsforms:question id="r9b9620be871d47539311ac6197b7af57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3JySPbKB-5Hoa5nGF_qN7hUQVNRQVA5Ukc3QVlCRVRPMUVFSEIwQ1czUS4u" isFormConnected="1" maxResponseId="8" latestEventMarker="1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r22afc5f33597404186d7f29f14ebcb63</xlmsforms:syncedQuestionId>
        <xlmsforms:syncedQuestionId>r58c08c932f6f458a81ca03ccc93c611b</xlmsforms:syncedQuestionId>
        <xlmsforms:syncedQuestionId>r824cbfcab3184101ac7af372ec5ddc92</xlmsforms:syncedQuestionId>
        <xlmsforms:syncedQuestionId>rb67fef65dfac4f2c93b08200a862d362</xlmsforms:syncedQuestionId>
        <xlmsforms:syncedQuestionId>r9b9620be871d47539311ac6197b7af57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C9194-AC58-4AC8-B1C9-F0C1D050AAF8}">
  <dimension ref="A1:B9"/>
  <sheetViews>
    <sheetView tabSelected="1" workbookViewId="0">
      <selection activeCell="E14" sqref="E14"/>
    </sheetView>
  </sheetViews>
  <sheetFormatPr defaultRowHeight="15" x14ac:dyDescent="0.25"/>
  <cols>
    <col min="1" max="1" width="77.85546875" bestFit="1" customWidth="1"/>
    <col min="2" max="2" width="22.7109375" bestFit="1" customWidth="1"/>
  </cols>
  <sheetData>
    <row r="1" spans="1:2" x14ac:dyDescent="0.25">
      <c r="A1" s="3" t="s">
        <v>55</v>
      </c>
      <c r="B1" t="s">
        <v>57</v>
      </c>
    </row>
    <row r="2" spans="1:2" x14ac:dyDescent="0.25">
      <c r="A2" s="4" t="s">
        <v>17</v>
      </c>
      <c r="B2">
        <v>2</v>
      </c>
    </row>
    <row r="3" spans="1:2" x14ac:dyDescent="0.25">
      <c r="A3" s="4" t="s">
        <v>51</v>
      </c>
      <c r="B3">
        <v>1</v>
      </c>
    </row>
    <row r="4" spans="1:2" x14ac:dyDescent="0.25">
      <c r="A4" s="4" t="s">
        <v>58</v>
      </c>
      <c r="B4">
        <v>1</v>
      </c>
    </row>
    <row r="5" spans="1:2" x14ac:dyDescent="0.25">
      <c r="A5" s="4" t="s">
        <v>28</v>
      </c>
      <c r="B5">
        <v>1</v>
      </c>
    </row>
    <row r="6" spans="1:2" x14ac:dyDescent="0.25">
      <c r="A6" s="4" t="s">
        <v>46</v>
      </c>
      <c r="B6">
        <v>1</v>
      </c>
    </row>
    <row r="7" spans="1:2" x14ac:dyDescent="0.25">
      <c r="A7" s="4" t="s">
        <v>34</v>
      </c>
      <c r="B7">
        <v>1</v>
      </c>
    </row>
    <row r="8" spans="1:2" x14ac:dyDescent="0.25">
      <c r="A8" s="4" t="s">
        <v>40</v>
      </c>
      <c r="B8">
        <v>1</v>
      </c>
    </row>
    <row r="9" spans="1:2" x14ac:dyDescent="0.25">
      <c r="A9" s="4" t="s">
        <v>56</v>
      </c>
      <c r="B9">
        <v>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opLeftCell="G1" workbookViewId="0">
      <selection activeCell="A13" sqref="A13"/>
    </sheetView>
  </sheetViews>
  <sheetFormatPr defaultRowHeight="15" x14ac:dyDescent="0.25"/>
  <cols>
    <col min="1" max="1" width="6.28515625" customWidth="1"/>
    <col min="2" max="2" width="34.7109375" customWidth="1"/>
    <col min="3" max="12" width="73" customWidth="1"/>
  </cols>
  <sheetData>
    <row r="1" spans="1:11" ht="24" customHeight="1" x14ac:dyDescent="0.25">
      <c r="A1" t="s">
        <v>0</v>
      </c>
      <c r="B1" s="2" t="s">
        <v>1</v>
      </c>
      <c r="C1" t="s">
        <v>2</v>
      </c>
      <c r="D1" t="s">
        <v>54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ht="24" customHeight="1" x14ac:dyDescent="0.25">
      <c r="A2">
        <v>1</v>
      </c>
      <c r="B2" s="2">
        <v>46121.390405092592</v>
      </c>
      <c r="C2" s="2">
        <v>46121.390856481485</v>
      </c>
      <c r="D2" s="2">
        <f t="shared" ref="D2:D9" si="0">C2-B2</f>
        <v>4.5138889254303649E-4</v>
      </c>
      <c r="E2" t="s">
        <v>10</v>
      </c>
      <c r="F2" t="s">
        <v>11</v>
      </c>
      <c r="G2" t="s">
        <v>10</v>
      </c>
      <c r="H2" t="s">
        <v>12</v>
      </c>
      <c r="I2" t="s">
        <v>13</v>
      </c>
      <c r="J2" t="s">
        <v>14</v>
      </c>
    </row>
    <row r="3" spans="1:11" ht="24" customHeight="1" x14ac:dyDescent="0.25">
      <c r="A3">
        <v>2</v>
      </c>
      <c r="B3" s="2">
        <v>46121.414918981478</v>
      </c>
      <c r="C3" s="2">
        <v>46121.415486111109</v>
      </c>
      <c r="D3" s="2">
        <f t="shared" si="0"/>
        <v>5.671296312357299E-4</v>
      </c>
      <c r="E3" t="s">
        <v>15</v>
      </c>
      <c r="F3" t="s">
        <v>16</v>
      </c>
      <c r="G3" t="s">
        <v>15</v>
      </c>
      <c r="H3" t="s">
        <v>17</v>
      </c>
      <c r="I3" t="s">
        <v>18</v>
      </c>
      <c r="J3" t="s">
        <v>14</v>
      </c>
      <c r="K3" t="s">
        <v>19</v>
      </c>
    </row>
    <row r="4" spans="1:11" ht="24" customHeight="1" x14ac:dyDescent="0.25">
      <c r="A4">
        <v>3</v>
      </c>
      <c r="B4" s="2">
        <v>46121.414652777778</v>
      </c>
      <c r="C4" s="2">
        <v>46121.417349537034</v>
      </c>
      <c r="D4" s="2">
        <f t="shared" si="0"/>
        <v>2.6967592566506937E-3</v>
      </c>
      <c r="E4" t="s">
        <v>20</v>
      </c>
      <c r="F4" t="s">
        <v>21</v>
      </c>
      <c r="G4" t="s">
        <v>22</v>
      </c>
      <c r="H4" t="s">
        <v>17</v>
      </c>
      <c r="I4" t="s">
        <v>23</v>
      </c>
      <c r="J4" t="s">
        <v>14</v>
      </c>
      <c r="K4" t="s">
        <v>24</v>
      </c>
    </row>
    <row r="5" spans="1:11" ht="24" customHeight="1" x14ac:dyDescent="0.25">
      <c r="A5">
        <v>4</v>
      </c>
      <c r="B5" s="2">
        <v>46121.434016203704</v>
      </c>
      <c r="C5" s="2">
        <v>46121.434710648151</v>
      </c>
      <c r="D5" s="2">
        <f t="shared" si="0"/>
        <v>6.944444467080757E-4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</row>
    <row r="6" spans="1:11" ht="24" customHeight="1" x14ac:dyDescent="0.25">
      <c r="A6">
        <v>5</v>
      </c>
      <c r="B6" s="2">
        <v>46121.49596064815</v>
      </c>
      <c r="C6" s="2">
        <v>46121.498055555552</v>
      </c>
      <c r="D6" s="2">
        <f t="shared" si="0"/>
        <v>2.0949074023519643E-3</v>
      </c>
      <c r="E6" t="s">
        <v>32</v>
      </c>
      <c r="F6" t="s">
        <v>33</v>
      </c>
      <c r="G6" t="s">
        <v>32</v>
      </c>
      <c r="H6" t="s">
        <v>34</v>
      </c>
      <c r="I6" t="s">
        <v>13</v>
      </c>
      <c r="J6" t="s">
        <v>35</v>
      </c>
      <c r="K6" t="s">
        <v>36</v>
      </c>
    </row>
    <row r="7" spans="1:11" ht="24" customHeight="1" x14ac:dyDescent="0.25">
      <c r="A7">
        <v>6</v>
      </c>
      <c r="B7" s="2">
        <v>46121.547291666669</v>
      </c>
      <c r="C7" s="2">
        <v>46121.548113425924</v>
      </c>
      <c r="D7" s="2">
        <f t="shared" si="0"/>
        <v>8.2175925490446389E-4</v>
      </c>
      <c r="E7" t="s">
        <v>37</v>
      </c>
      <c r="F7" t="s">
        <v>38</v>
      </c>
      <c r="G7" t="s">
        <v>39</v>
      </c>
      <c r="H7" t="s">
        <v>40</v>
      </c>
      <c r="I7" t="s">
        <v>23</v>
      </c>
      <c r="J7" t="s">
        <v>41</v>
      </c>
      <c r="K7" t="s">
        <v>42</v>
      </c>
    </row>
    <row r="8" spans="1:11" ht="24" customHeight="1" x14ac:dyDescent="0.25">
      <c r="A8">
        <v>7</v>
      </c>
      <c r="B8" s="2">
        <v>46121.612361111111</v>
      </c>
      <c r="C8" s="2">
        <v>46121.613043981481</v>
      </c>
      <c r="D8" s="2">
        <f t="shared" si="0"/>
        <v>6.8287036992842332E-4</v>
      </c>
      <c r="E8" t="s">
        <v>43</v>
      </c>
      <c r="F8" t="s">
        <v>44</v>
      </c>
      <c r="G8" t="s">
        <v>45</v>
      </c>
      <c r="H8" t="s">
        <v>46</v>
      </c>
      <c r="I8" t="s">
        <v>18</v>
      </c>
      <c r="J8" t="s">
        <v>35</v>
      </c>
      <c r="K8" t="s">
        <v>47</v>
      </c>
    </row>
    <row r="9" spans="1:11" ht="24" customHeight="1" x14ac:dyDescent="0.25">
      <c r="A9">
        <v>8</v>
      </c>
      <c r="B9" s="2">
        <v>46121.659259259301</v>
      </c>
      <c r="C9" s="2">
        <v>46121.660543981503</v>
      </c>
      <c r="D9" s="2">
        <f t="shared" si="0"/>
        <v>1.2847222023992799E-3</v>
      </c>
      <c r="E9" s="1" t="s">
        <v>48</v>
      </c>
      <c r="F9" s="1" t="s">
        <v>49</v>
      </c>
      <c r="G9" s="1" t="s">
        <v>50</v>
      </c>
      <c r="H9" s="1" t="s">
        <v>51</v>
      </c>
      <c r="I9" s="1" t="s">
        <v>52</v>
      </c>
      <c r="J9" s="1" t="s">
        <v>53</v>
      </c>
      <c r="K9" s="1"/>
    </row>
    <row r="10" spans="1:11" x14ac:dyDescent="0.25">
      <c r="B10" s="2"/>
      <c r="C10" s="2"/>
      <c r="D10" s="2">
        <f>AVERAGE(D2:D9)</f>
        <v>1.1617476820902084E-3</v>
      </c>
      <c r="E10" s="1"/>
      <c r="F10" s="1"/>
      <c r="G10" s="1"/>
      <c r="H10" s="1"/>
      <c r="I10" s="1"/>
      <c r="J10">
        <f>COUNTIF(J2:J9, "Birthday treat")</f>
        <v>0</v>
      </c>
      <c r="K10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alondra martinez</dc:creator>
  <cp:keywords/>
  <dc:description/>
  <cp:lastModifiedBy>alondra martinez</cp:lastModifiedBy>
  <cp:revision/>
  <dcterms:created xsi:type="dcterms:W3CDTF">2026-04-09T19:05:40Z</dcterms:created>
  <dcterms:modified xsi:type="dcterms:W3CDTF">2026-04-19T00:27:18Z</dcterms:modified>
  <cp:category/>
  <cp:contentStatus/>
</cp:coreProperties>
</file>